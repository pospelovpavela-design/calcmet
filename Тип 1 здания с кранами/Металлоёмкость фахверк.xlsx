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МУРАШОВ\РАБОТА\АСО\!!Для работы\"/>
    </mc:Choice>
  </mc:AlternateContent>
  <bookViews>
    <workbookView xWindow="0" yWindow="0" windowWidth="28800" windowHeight="12300" activeTab="1"/>
  </bookViews>
  <sheets>
    <sheet name="Аналоги" sheetId="1" r:id="rId1"/>
    <sheet name="Расчеты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0" i="1" l="1"/>
  <c r="C66" i="1"/>
  <c r="C62" i="1"/>
  <c r="C58" i="1"/>
  <c r="C54" i="1"/>
  <c r="H44" i="1"/>
  <c r="H40" i="1"/>
  <c r="H36" i="1"/>
  <c r="C50" i="1" l="1"/>
  <c r="C46" i="1"/>
  <c r="C44" i="1"/>
  <c r="C42" i="1" l="1"/>
  <c r="C38" i="1"/>
  <c r="C36" i="1"/>
  <c r="H31" i="1" l="1"/>
  <c r="C19" i="1"/>
  <c r="C20" i="1"/>
  <c r="H32" i="1"/>
  <c r="H30" i="1"/>
  <c r="M25" i="1"/>
  <c r="M23" i="1"/>
  <c r="M26" i="1"/>
  <c r="M24" i="1"/>
  <c r="M18" i="1"/>
  <c r="C30" i="1"/>
  <c r="H24" i="1"/>
  <c r="C26" i="1"/>
  <c r="C24" i="1"/>
  <c r="H20" i="1"/>
  <c r="H18" i="1"/>
  <c r="C18" i="1"/>
  <c r="H17" i="1"/>
</calcChain>
</file>

<file path=xl/sharedStrings.xml><?xml version="1.0" encoding="utf-8"?>
<sst xmlns="http://schemas.openxmlformats.org/spreadsheetml/2006/main" count="143" uniqueCount="89">
  <si>
    <t>Главное здание мартеновского цеха с печами ёмкостью в т</t>
  </si>
  <si>
    <t>900-1000</t>
  </si>
  <si>
    <t>Фахверки, переплеты, жалюзи и импосты</t>
  </si>
  <si>
    <t>Площадки литейщика и крановщика</t>
  </si>
  <si>
    <t>Технологические мелкие конструкции</t>
  </si>
  <si>
    <t>26,6*</t>
  </si>
  <si>
    <t>* Включая фахверки кирпичных стен</t>
  </si>
  <si>
    <r>
      <t xml:space="preserve">Расход стали в </t>
    </r>
    <r>
      <rPr>
        <i/>
        <sz val="11"/>
        <color theme="1"/>
        <rFont val="Calibri"/>
        <family val="2"/>
        <charset val="204"/>
        <scheme val="minor"/>
      </rPr>
      <t>кг</t>
    </r>
    <r>
      <rPr>
        <sz val="11"/>
        <color theme="1"/>
        <rFont val="Calibri"/>
        <family val="2"/>
        <charset val="204"/>
        <scheme val="minor"/>
      </rPr>
      <t xml:space="preserve"> на 1 </t>
    </r>
    <r>
      <rPr>
        <i/>
        <sz val="11"/>
        <color theme="1"/>
        <rFont val="Calibri"/>
        <family val="2"/>
        <charset val="204"/>
        <scheme val="minor"/>
      </rPr>
      <t>м</t>
    </r>
    <r>
      <rPr>
        <i/>
        <vertAlign val="super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 xml:space="preserve"> площади зданий</t>
    </r>
  </si>
  <si>
    <t>Фахверк:</t>
  </si>
  <si>
    <t>при легких навесных панелях и стальных листовых стеновых ограждениях без стоек</t>
  </si>
  <si>
    <t>то же, со стойками</t>
  </si>
  <si>
    <t>из сборных железобетонных панелей без стоек</t>
  </si>
  <si>
    <t>20-25</t>
  </si>
  <si>
    <t>7-10</t>
  </si>
  <si>
    <t>3-5</t>
  </si>
  <si>
    <t>13-16</t>
  </si>
  <si>
    <r>
      <t xml:space="preserve">Расход стали в </t>
    </r>
    <r>
      <rPr>
        <i/>
        <sz val="11"/>
        <color theme="1"/>
        <rFont val="Calibri"/>
        <family val="2"/>
        <charset val="204"/>
        <scheme val="minor"/>
      </rPr>
      <t xml:space="preserve">кг </t>
    </r>
    <r>
      <rPr>
        <sz val="11"/>
        <color theme="1"/>
        <rFont val="Calibri"/>
        <family val="2"/>
        <charset val="204"/>
        <scheme val="minor"/>
      </rPr>
      <t xml:space="preserve">на 1 </t>
    </r>
    <r>
      <rPr>
        <i/>
        <sz val="11"/>
        <color theme="1"/>
        <rFont val="Calibri"/>
        <family val="2"/>
        <charset val="204"/>
        <scheme val="minor"/>
      </rPr>
      <t>м</t>
    </r>
    <r>
      <rPr>
        <i/>
        <vertAlign val="super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 xml:space="preserve"> площади стены, включая проёмы</t>
    </r>
  </si>
  <si>
    <t>Вес стенового фахверка без стоек, т</t>
  </si>
  <si>
    <r>
      <t>Вес 1м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 xml:space="preserve"> стенового фахверка, т</t>
    </r>
  </si>
  <si>
    <r>
      <t>Вес 1 м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 xml:space="preserve"> стенового фахверка, т</t>
    </r>
  </si>
  <si>
    <t>б/с</t>
  </si>
  <si>
    <t>Вес 1 м2 стенового фахверка, т</t>
  </si>
  <si>
    <t>Вес стенового фахверка со стойками фахверка, т</t>
  </si>
  <si>
    <t>Вес стенового фахверка со стойками (по торцу), т</t>
  </si>
  <si>
    <r>
      <t xml:space="preserve">Фахверк </t>
    </r>
    <r>
      <rPr>
        <b/>
        <sz val="11"/>
        <color theme="1"/>
        <rFont val="Calibri"/>
        <family val="2"/>
        <charset val="204"/>
        <scheme val="minor"/>
      </rPr>
      <t>291553-02-КМ4</t>
    </r>
    <r>
      <rPr>
        <sz val="11"/>
        <color theme="1"/>
        <rFont val="Calibri"/>
        <family val="2"/>
        <charset val="204"/>
        <scheme val="minor"/>
      </rPr>
      <t xml:space="preserve"> (шаг колонн 12 м, высота здани</t>
    </r>
    <r>
      <rPr>
        <sz val="11"/>
        <rFont val="Calibri"/>
        <family val="2"/>
        <charset val="204"/>
        <scheme val="minor"/>
      </rPr>
      <t>я 20 м</t>
    </r>
    <r>
      <rPr>
        <sz val="11"/>
        <color theme="1"/>
        <rFont val="Calibri"/>
        <family val="2"/>
        <charset val="204"/>
        <scheme val="minor"/>
      </rPr>
      <t>, длина здания 168 м); один торец; L стен 370 м, S стен 6955 м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>.</t>
    </r>
  </si>
  <si>
    <r>
      <t>Фахверк</t>
    </r>
    <r>
      <rPr>
        <b/>
        <sz val="11"/>
        <color theme="1"/>
        <rFont val="Calibri"/>
        <family val="2"/>
        <charset val="204"/>
        <scheme val="minor"/>
      </rPr>
      <t xml:space="preserve"> 281825-02-КМ</t>
    </r>
    <r>
      <rPr>
        <sz val="11"/>
        <color theme="1"/>
        <rFont val="Calibri"/>
        <family val="2"/>
        <charset val="204"/>
        <scheme val="minor"/>
      </rPr>
      <t xml:space="preserve"> (шаг колонн 6 м, высота здания 30 м, длина здания 36 м); один торец; L стен 110 м, S стен 2420 м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>.</t>
    </r>
  </si>
  <si>
    <t>S стен**</t>
  </si>
  <si>
    <t>** без учета цоколя</t>
  </si>
  <si>
    <r>
      <t xml:space="preserve">Фахверк </t>
    </r>
    <r>
      <rPr>
        <b/>
        <sz val="11"/>
        <color theme="1"/>
        <rFont val="Calibri"/>
        <family val="2"/>
        <charset val="204"/>
        <scheme val="minor"/>
      </rPr>
      <t>281610-03-КМ</t>
    </r>
    <r>
      <rPr>
        <sz val="11"/>
        <color theme="1"/>
        <rFont val="Calibri"/>
        <family val="2"/>
        <charset val="204"/>
        <scheme val="minor"/>
      </rPr>
      <t xml:space="preserve"> (шаг колонн 6 м, высота здани</t>
    </r>
    <r>
      <rPr>
        <sz val="11"/>
        <rFont val="Calibri"/>
        <family val="2"/>
        <charset val="204"/>
        <scheme val="minor"/>
      </rPr>
      <t>я 25 м</t>
    </r>
    <r>
      <rPr>
        <sz val="11"/>
        <color theme="1"/>
        <rFont val="Calibri"/>
        <family val="2"/>
        <charset val="204"/>
        <scheme val="minor"/>
      </rPr>
      <t>, длина здания 14,5 м); L стен 42,5 м, S стен 510 м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>.</t>
    </r>
  </si>
  <si>
    <r>
      <t>Фахверк</t>
    </r>
    <r>
      <rPr>
        <b/>
        <sz val="11"/>
        <color theme="1"/>
        <rFont val="Calibri"/>
        <family val="2"/>
        <charset val="204"/>
        <scheme val="minor"/>
      </rPr>
      <t xml:space="preserve"> 281736-02-КМ2</t>
    </r>
    <r>
      <rPr>
        <sz val="11"/>
        <color theme="1"/>
        <rFont val="Calibri"/>
        <family val="2"/>
        <charset val="204"/>
        <scheme val="minor"/>
      </rPr>
      <t xml:space="preserve"> (шаг колонн 12 м, высота здания 30 м, длина здания 60 м); один торец; L стен 117 м, S стен 3545 м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>.</t>
    </r>
  </si>
  <si>
    <r>
      <t xml:space="preserve">Фахверк </t>
    </r>
    <r>
      <rPr>
        <b/>
        <sz val="11"/>
        <color theme="1"/>
        <rFont val="Calibri"/>
        <family val="2"/>
        <charset val="204"/>
        <scheme val="minor"/>
      </rPr>
      <t>281736-03-КМ</t>
    </r>
    <r>
      <rPr>
        <sz val="11"/>
        <color theme="1"/>
        <rFont val="Calibri"/>
        <family val="2"/>
        <charset val="204"/>
        <scheme val="minor"/>
      </rPr>
      <t xml:space="preserve"> (шаг стоек 6 м, высота здания 20 м, длина стены 33 м); только торец; L стен 33 м, S стен 690 м2.</t>
    </r>
  </si>
  <si>
    <r>
      <t>Фахверк</t>
    </r>
    <r>
      <rPr>
        <b/>
        <sz val="11"/>
        <color theme="1"/>
        <rFont val="Calibri"/>
        <family val="2"/>
        <charset val="204"/>
        <scheme val="minor"/>
      </rPr>
      <t xml:space="preserve"> 289600-02-КМ4</t>
    </r>
    <r>
      <rPr>
        <sz val="11"/>
        <color theme="1"/>
        <rFont val="Calibri"/>
        <family val="2"/>
        <charset val="204"/>
        <scheme val="minor"/>
      </rPr>
      <t xml:space="preserve"> (шаг колонн 9 м, высота здания 60 м, S стен 14800 м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>.</t>
    </r>
  </si>
  <si>
    <t>Высота 20...30 м</t>
  </si>
  <si>
    <t>Высота &gt;40 м</t>
  </si>
  <si>
    <r>
      <t>Фахверк</t>
    </r>
    <r>
      <rPr>
        <b/>
        <sz val="11"/>
        <color theme="1"/>
        <rFont val="Calibri"/>
        <family val="2"/>
        <charset val="204"/>
        <scheme val="minor"/>
      </rPr>
      <t xml:space="preserve"> 3220КМ Бункерная эстакада ДП-6</t>
    </r>
    <r>
      <rPr>
        <sz val="11"/>
        <color theme="1"/>
        <rFont val="Calibri"/>
        <family val="2"/>
        <charset val="204"/>
        <scheme val="minor"/>
      </rPr>
      <t xml:space="preserve"> (шаг колонн 15 м, высота здания 54 м, длина здания 90 м); L стен 238 м, S стен 12100 м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>.</t>
    </r>
  </si>
  <si>
    <r>
      <t xml:space="preserve">Фахверк </t>
    </r>
    <r>
      <rPr>
        <b/>
        <sz val="11"/>
        <color theme="1"/>
        <rFont val="Calibri"/>
        <family val="2"/>
        <charset val="204"/>
        <scheme val="minor"/>
      </rPr>
      <t>291553-02-КМ5</t>
    </r>
    <r>
      <rPr>
        <sz val="11"/>
        <color theme="1"/>
        <rFont val="Calibri"/>
        <family val="2"/>
        <charset val="204"/>
        <scheme val="minor"/>
      </rPr>
      <t xml:space="preserve"> (шаг колонн 12 м, высота здания 36 м, длина здания 96 м); один торец; L стен 245 м, S стен 8270 м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>.</t>
    </r>
  </si>
  <si>
    <t>Вес стенового фахверка со стойками, т</t>
  </si>
  <si>
    <t>Высота 30...40 м</t>
  </si>
  <si>
    <t>Высота здания</t>
  </si>
  <si>
    <t>до 10 м</t>
  </si>
  <si>
    <t>до 20 м</t>
  </si>
  <si>
    <t>до 40 м</t>
  </si>
  <si>
    <t>Без нагрузки</t>
  </si>
  <si>
    <t>100 кг/м.п.</t>
  </si>
  <si>
    <t>300 кг/м.п.</t>
  </si>
  <si>
    <t>Тип схемы</t>
  </si>
  <si>
    <t>291553-02-КМ7 тепловой пункт</t>
  </si>
  <si>
    <t>6х12 м</t>
  </si>
  <si>
    <t>Энергетич</t>
  </si>
  <si>
    <t xml:space="preserve">291553-02-КМ17, КМ18, КМ21, </t>
  </si>
  <si>
    <t>КМ22, КМ23, КМ24, КМ25, КМ27,</t>
  </si>
  <si>
    <t>КМ28, КМ29, КМ31, КМ32, КМ33</t>
  </si>
  <si>
    <t>КМ34, КМ35, КМ36, КМ39, КМ42</t>
  </si>
  <si>
    <t>Металлургич</t>
  </si>
  <si>
    <r>
      <t>Расход, т на 1 м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 xml:space="preserve"> этажа:</t>
    </r>
  </si>
  <si>
    <t>290300-02-км2.4, КМ21, КМ22,</t>
  </si>
  <si>
    <t>КМ31</t>
  </si>
  <si>
    <t>281609-КМ35</t>
  </si>
  <si>
    <t>Вспомо-</t>
  </si>
  <si>
    <t>гат.</t>
  </si>
  <si>
    <t>290300-02-КМ3.2</t>
  </si>
  <si>
    <t>287219-КМ</t>
  </si>
  <si>
    <t>281642-13-КМ</t>
  </si>
  <si>
    <t>15х12 м</t>
  </si>
  <si>
    <t>5,5х10 м</t>
  </si>
  <si>
    <t>35х22 м</t>
  </si>
  <si>
    <t>12х9 м</t>
  </si>
  <si>
    <t>32,3х56,7 м</t>
  </si>
  <si>
    <t>Тип здания</t>
  </si>
  <si>
    <r>
      <t>Вес стенового фахверка (кг/м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>) в зависимотси от высоты здания и нагрузки на опорные ригели</t>
    </r>
  </si>
  <si>
    <t>2...4</t>
  </si>
  <si>
    <r>
      <t>Вес опор под технологические коммуникации и их площадки обслуживания, кг/м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 xml:space="preserve"> этажа, в зависимости от типа здания</t>
    </r>
  </si>
  <si>
    <t>I тип
пролёт 6 м</t>
  </si>
  <si>
    <t>II тип
пролёт 12 м</t>
  </si>
  <si>
    <t>Основные производственные здания, цеха</t>
  </si>
  <si>
    <t>Вспомогательные здания (ремонтные, административные)</t>
  </si>
  <si>
    <t>281736-03-КМ3, КМ5, КМ6</t>
  </si>
  <si>
    <t>11...22</t>
  </si>
  <si>
    <t>Здания энергоносителей (насосные, тепло- газораспределительные и др.)</t>
  </si>
  <si>
    <t>281825-02-КМ</t>
  </si>
  <si>
    <t>36х36 м</t>
  </si>
  <si>
    <t>281825-05-КМ</t>
  </si>
  <si>
    <t>6,5х20,5 м</t>
  </si>
  <si>
    <t>281586-01-КМ25</t>
  </si>
  <si>
    <t>14х24 м</t>
  </si>
  <si>
    <t>III тип пролёт 6 м
со ст. фахверка</t>
  </si>
  <si>
    <t>84х40 м</t>
  </si>
  <si>
    <t>291533-02-КМ14, КМ6</t>
  </si>
  <si>
    <t>23...40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</si>
</sst>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1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vertAlign val="superscript"/>
      <sz val="11"/>
      <color theme="1"/>
      <name val="Calibri"/>
      <family val="2"/>
      <charset val="204"/>
      <scheme val="minor"/>
    </font>
    <font>
      <sz val="11"/>
      <color rgb="FF0000FF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rgb="FFFF33CC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trike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7" xfId="0" applyBorder="1"/>
    <xf numFmtId="0" fontId="0" fillId="0" borderId="1" xfId="0" applyFill="1" applyBorder="1" applyAlignment="1">
      <alignment wrapText="1"/>
    </xf>
    <xf numFmtId="164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1" fillId="0" borderId="0" xfId="0" applyFont="1"/>
    <xf numFmtId="0" fontId="0" fillId="0" borderId="0" xfId="0" applyFill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0" fillId="0" borderId="1" xfId="0" applyBorder="1" applyAlignment="1">
      <alignment horizontal="left" vertical="center"/>
    </xf>
    <xf numFmtId="0" fontId="0" fillId="0" borderId="0" xfId="0" applyBorder="1" applyAlignment="1">
      <alignment wrapText="1"/>
    </xf>
    <xf numFmtId="0" fontId="0" fillId="0" borderId="0" xfId="0" applyBorder="1"/>
    <xf numFmtId="164" fontId="0" fillId="0" borderId="0" xfId="0" applyNumberFormat="1" applyBorder="1" applyAlignment="1">
      <alignment horizontal="center" vertical="center"/>
    </xf>
    <xf numFmtId="0" fontId="0" fillId="0" borderId="0" xfId="0" applyFill="1"/>
    <xf numFmtId="0" fontId="5" fillId="0" borderId="0" xfId="0" applyFont="1" applyFill="1" applyBorder="1" applyAlignment="1">
      <alignment wrapText="1"/>
    </xf>
    <xf numFmtId="0" fontId="5" fillId="0" borderId="0" xfId="0" applyFont="1"/>
    <xf numFmtId="0" fontId="0" fillId="0" borderId="4" xfId="0" applyBorder="1" applyAlignment="1">
      <alignment horizontal="left" vertical="center"/>
    </xf>
    <xf numFmtId="165" fontId="0" fillId="0" borderId="0" xfId="0" applyNumberForma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 indent="2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 vertical="center" indent="2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left" vertical="center" indent="2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left" vertical="center" indent="2"/>
    </xf>
    <xf numFmtId="0" fontId="0" fillId="0" borderId="5" xfId="0" applyBorder="1"/>
    <xf numFmtId="0" fontId="0" fillId="0" borderId="6" xfId="0" applyBorder="1"/>
    <xf numFmtId="0" fontId="8" fillId="0" borderId="0" xfId="0" applyFont="1" applyAlignment="1">
      <alignment horizontal="left" vertical="center" wrapText="1"/>
    </xf>
    <xf numFmtId="165" fontId="1" fillId="0" borderId="1" xfId="0" applyNumberFormat="1" applyFont="1" applyBorder="1" applyAlignment="1">
      <alignment horizontal="left"/>
    </xf>
    <xf numFmtId="165" fontId="1" fillId="0" borderId="4" xfId="0" applyNumberFormat="1" applyFont="1" applyBorder="1" applyAlignment="1">
      <alignment horizontal="left"/>
    </xf>
    <xf numFmtId="0" fontId="9" fillId="0" borderId="0" xfId="0" applyFon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2" xfId="0" applyBorder="1"/>
    <xf numFmtId="0" fontId="0" fillId="0" borderId="4" xfId="0" applyBorder="1"/>
    <xf numFmtId="165" fontId="1" fillId="0" borderId="0" xfId="0" applyNumberFormat="1" applyFont="1" applyBorder="1" applyAlignment="1">
      <alignment horizontal="left"/>
    </xf>
    <xf numFmtId="0" fontId="7" fillId="0" borderId="0" xfId="0" applyFont="1" applyBorder="1" applyAlignment="1">
      <alignment vertical="center" wrapText="1"/>
    </xf>
    <xf numFmtId="0" fontId="1" fillId="0" borderId="0" xfId="0" applyFont="1" applyBorder="1"/>
    <xf numFmtId="0" fontId="0" fillId="0" borderId="0" xfId="0" applyBorder="1" applyAlignment="1">
      <alignment horizontal="right"/>
    </xf>
    <xf numFmtId="0" fontId="0" fillId="0" borderId="0" xfId="0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5" fontId="11" fillId="0" borderId="1" xfId="0" applyNumberFormat="1" applyFont="1" applyBorder="1" applyAlignment="1">
      <alignment horizontal="left"/>
    </xf>
    <xf numFmtId="0" fontId="9" fillId="0" borderId="0" xfId="0" applyFont="1" applyBorder="1"/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7" fillId="0" borderId="10" xfId="0" applyFont="1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33CC"/>
      <color rgb="FF00CC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Без стоек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(Аналоги!$S$17,Аналоги!$S$19)</c:f>
              <c:numCache>
                <c:formatCode>General</c:formatCode>
                <c:ptCount val="2"/>
                <c:pt idx="0">
                  <c:v>1.6E-2</c:v>
                </c:pt>
                <c:pt idx="1">
                  <c:v>2.5000000000000001E-2</c:v>
                </c:pt>
              </c:numCache>
            </c:numRef>
          </c:xVal>
          <c:yVal>
            <c:numRef>
              <c:f>(Аналоги!$Q$17,Аналоги!$Q$19)</c:f>
              <c:numCache>
                <c:formatCode>General</c:formatCode>
                <c:ptCount val="2"/>
                <c:pt idx="0">
                  <c:v>12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9C-4761-8AB2-50D74A77E83B}"/>
            </c:ext>
          </c:extLst>
        </c:ser>
        <c:ser>
          <c:idx val="1"/>
          <c:order val="1"/>
          <c:tx>
            <c:v>Со стойками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(Аналоги!$S$18,Аналоги!$S$20)</c:f>
              <c:numCache>
                <c:formatCode>General</c:formatCode>
                <c:ptCount val="2"/>
                <c:pt idx="0">
                  <c:v>2.1999999999999999E-2</c:v>
                </c:pt>
                <c:pt idx="1">
                  <c:v>3.6999999999999998E-2</c:v>
                </c:pt>
              </c:numCache>
            </c:numRef>
          </c:xVal>
          <c:yVal>
            <c:numRef>
              <c:f>(Аналоги!$Q$18,Аналоги!$Q$20)</c:f>
              <c:numCache>
                <c:formatCode>General</c:formatCode>
                <c:ptCount val="2"/>
                <c:pt idx="0">
                  <c:v>12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9C-4761-8AB2-50D74A77E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458511"/>
        <c:axId val="2130459343"/>
      </c:scatterChart>
      <c:valAx>
        <c:axId val="2130458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Расход стали на 1 м2 стенового фахверка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0459343"/>
        <c:crosses val="autoZero"/>
        <c:crossBetween val="midCat"/>
      </c:valAx>
      <c:valAx>
        <c:axId val="213045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Шаг основных колонн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0458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476250</xdr:colOff>
      <xdr:row>15</xdr:row>
      <xdr:rowOff>342900</xdr:rowOff>
    </xdr:from>
    <xdr:to>
      <xdr:col>27</xdr:col>
      <xdr:colOff>171450</xdr:colOff>
      <xdr:row>25</xdr:row>
      <xdr:rowOff>133350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70"/>
  <sheetViews>
    <sheetView topLeftCell="A25" zoomScaleNormal="100" workbookViewId="0">
      <selection activeCell="K42" sqref="K42"/>
    </sheetView>
  </sheetViews>
  <sheetFormatPr defaultRowHeight="15" x14ac:dyDescent="0.25"/>
  <cols>
    <col min="2" max="2" width="31.42578125" customWidth="1"/>
    <col min="3" max="3" width="11.5703125" customWidth="1"/>
    <col min="7" max="7" width="15.7109375" customWidth="1"/>
    <col min="12" max="12" width="15.7109375" customWidth="1"/>
  </cols>
  <sheetData>
    <row r="2" spans="1:13" ht="30" customHeight="1" x14ac:dyDescent="0.25">
      <c r="D2" s="67" t="s">
        <v>7</v>
      </c>
      <c r="E2" s="68"/>
      <c r="F2" s="69"/>
      <c r="G2" s="70" t="s">
        <v>16</v>
      </c>
    </row>
    <row r="3" spans="1:13" ht="45" customHeight="1" x14ac:dyDescent="0.25">
      <c r="D3" s="66" t="s">
        <v>0</v>
      </c>
      <c r="E3" s="66"/>
      <c r="F3" s="66"/>
      <c r="G3" s="71"/>
    </row>
    <row r="4" spans="1:13" x14ac:dyDescent="0.25">
      <c r="D4" s="1">
        <v>250</v>
      </c>
      <c r="E4" s="1">
        <v>500</v>
      </c>
      <c r="F4" s="1" t="s">
        <v>1</v>
      </c>
      <c r="G4" s="5"/>
    </row>
    <row r="5" spans="1:13" ht="30" x14ac:dyDescent="0.25">
      <c r="B5" s="2" t="s">
        <v>2</v>
      </c>
      <c r="C5" s="2"/>
      <c r="D5" s="7" t="s">
        <v>5</v>
      </c>
      <c r="E5" s="7">
        <v>11.9</v>
      </c>
      <c r="F5" s="7">
        <v>11.5</v>
      </c>
    </row>
    <row r="6" spans="1:13" ht="30" x14ac:dyDescent="0.25">
      <c r="B6" s="3" t="s">
        <v>3</v>
      </c>
      <c r="C6" s="4"/>
      <c r="D6" s="7">
        <v>15.8</v>
      </c>
      <c r="E6" s="7">
        <v>9.9</v>
      </c>
      <c r="F6" s="7">
        <v>18.600000000000001</v>
      </c>
    </row>
    <row r="7" spans="1:13" ht="30" x14ac:dyDescent="0.25">
      <c r="B7" s="3" t="s">
        <v>4</v>
      </c>
      <c r="C7" s="4"/>
      <c r="D7" s="7">
        <v>31.4</v>
      </c>
      <c r="E7" s="7">
        <v>23.6</v>
      </c>
      <c r="F7" s="7">
        <v>29</v>
      </c>
    </row>
    <row r="8" spans="1:13" x14ac:dyDescent="0.25">
      <c r="B8" s="14"/>
      <c r="C8" s="15"/>
      <c r="D8" t="s">
        <v>6</v>
      </c>
      <c r="E8" s="16"/>
      <c r="F8" s="16"/>
    </row>
    <row r="9" spans="1:13" x14ac:dyDescent="0.25">
      <c r="B9" s="10" t="s">
        <v>8</v>
      </c>
    </row>
    <row r="10" spans="1:13" ht="45" x14ac:dyDescent="0.25">
      <c r="B10" s="3" t="s">
        <v>9</v>
      </c>
      <c r="G10" s="8" t="s">
        <v>13</v>
      </c>
    </row>
    <row r="11" spans="1:13" x14ac:dyDescent="0.25">
      <c r="B11" s="6" t="s">
        <v>10</v>
      </c>
      <c r="G11" s="8" t="s">
        <v>12</v>
      </c>
    </row>
    <row r="12" spans="1:13" ht="30" x14ac:dyDescent="0.25">
      <c r="B12" s="6" t="s">
        <v>11</v>
      </c>
      <c r="G12" s="8" t="s">
        <v>14</v>
      </c>
    </row>
    <row r="13" spans="1:13" x14ac:dyDescent="0.25">
      <c r="B13" s="6" t="s">
        <v>10</v>
      </c>
      <c r="G13" s="9" t="s">
        <v>15</v>
      </c>
    </row>
    <row r="15" spans="1:13" x14ac:dyDescent="0.25">
      <c r="B15" s="18" t="s">
        <v>32</v>
      </c>
      <c r="C15" s="24" t="s">
        <v>26</v>
      </c>
      <c r="E15" s="19" t="s">
        <v>37</v>
      </c>
      <c r="H15" s="24" t="s">
        <v>26</v>
      </c>
      <c r="J15" s="19" t="s">
        <v>33</v>
      </c>
      <c r="M15" s="24" t="s">
        <v>26</v>
      </c>
    </row>
    <row r="16" spans="1:13" ht="60" customHeight="1" x14ac:dyDescent="0.25">
      <c r="A16" s="42" t="s">
        <v>53</v>
      </c>
      <c r="B16" s="12" t="s">
        <v>24</v>
      </c>
      <c r="C16" s="25">
        <v>6955</v>
      </c>
      <c r="E16" s="62" t="s">
        <v>25</v>
      </c>
      <c r="F16" s="62"/>
      <c r="G16" s="62"/>
      <c r="H16" s="25">
        <v>2420</v>
      </c>
      <c r="J16" s="62" t="s">
        <v>31</v>
      </c>
      <c r="K16" s="62"/>
      <c r="L16" s="62"/>
      <c r="M16" s="25">
        <v>14800</v>
      </c>
    </row>
    <row r="17" spans="1:19" ht="30" customHeight="1" x14ac:dyDescent="0.25">
      <c r="B17" s="12" t="s">
        <v>17</v>
      </c>
      <c r="C17" s="13">
        <v>118.7</v>
      </c>
      <c r="E17" s="62" t="s">
        <v>17</v>
      </c>
      <c r="F17" s="62"/>
      <c r="G17" s="62"/>
      <c r="H17" s="20">
        <f>95.08-30.98</f>
        <v>64.099999999999994</v>
      </c>
      <c r="J17" s="62" t="s">
        <v>17</v>
      </c>
      <c r="K17" s="62"/>
      <c r="L17" s="62"/>
      <c r="M17" s="20">
        <v>497</v>
      </c>
      <c r="Q17">
        <v>12</v>
      </c>
      <c r="R17" t="s">
        <v>20</v>
      </c>
      <c r="S17">
        <v>1.6E-2</v>
      </c>
    </row>
    <row r="18" spans="1:19" ht="15" customHeight="1" x14ac:dyDescent="0.25">
      <c r="A18" s="17"/>
      <c r="B18" s="22" t="s">
        <v>19</v>
      </c>
      <c r="C18" s="27">
        <f>C17/C16</f>
        <v>1.706685837526959E-2</v>
      </c>
      <c r="D18" s="23"/>
      <c r="E18" s="62" t="s">
        <v>19</v>
      </c>
      <c r="F18" s="62"/>
      <c r="G18" s="62"/>
      <c r="H18" s="28">
        <f>H17/H16</f>
        <v>2.6487603305785121E-2</v>
      </c>
      <c r="J18" s="62" t="s">
        <v>21</v>
      </c>
      <c r="K18" s="62"/>
      <c r="L18" s="62"/>
      <c r="M18" s="28">
        <f>M17/M16</f>
        <v>3.3581081081081078E-2</v>
      </c>
      <c r="Q18">
        <v>12</v>
      </c>
      <c r="S18">
        <v>2.1999999999999999E-2</v>
      </c>
    </row>
    <row r="19" spans="1:19" ht="30" customHeight="1" x14ac:dyDescent="0.25">
      <c r="A19" s="17"/>
      <c r="B19" s="12" t="s">
        <v>22</v>
      </c>
      <c r="C19" s="13">
        <f>118.7+45.23</f>
        <v>163.93</v>
      </c>
      <c r="E19" s="62" t="s">
        <v>23</v>
      </c>
      <c r="F19" s="62"/>
      <c r="G19" s="62"/>
      <c r="H19" s="20">
        <v>95.08</v>
      </c>
      <c r="J19" s="63"/>
      <c r="K19" s="63"/>
      <c r="L19" s="63"/>
      <c r="M19" s="4"/>
      <c r="Q19">
        <v>6</v>
      </c>
      <c r="R19" t="s">
        <v>20</v>
      </c>
      <c r="S19">
        <v>2.5000000000000001E-2</v>
      </c>
    </row>
    <row r="20" spans="1:19" ht="17.25" x14ac:dyDescent="0.25">
      <c r="A20" s="17"/>
      <c r="B20" s="4" t="s">
        <v>19</v>
      </c>
      <c r="C20" s="27">
        <f>C19/C16</f>
        <v>2.3570093457943926E-2</v>
      </c>
      <c r="E20" s="62" t="s">
        <v>19</v>
      </c>
      <c r="F20" s="62"/>
      <c r="G20" s="62"/>
      <c r="H20" s="28">
        <f>H19/H16</f>
        <v>3.9289256198347104E-2</v>
      </c>
      <c r="J20" s="63"/>
      <c r="K20" s="63"/>
      <c r="L20" s="63"/>
      <c r="M20" s="4"/>
      <c r="Q20">
        <v>6</v>
      </c>
      <c r="S20">
        <v>3.6999999999999998E-2</v>
      </c>
    </row>
    <row r="21" spans="1:19" x14ac:dyDescent="0.25">
      <c r="A21" s="17"/>
      <c r="B21" s="11"/>
      <c r="C21" s="31" t="s">
        <v>27</v>
      </c>
    </row>
    <row r="22" spans="1:19" ht="60" customHeight="1" x14ac:dyDescent="0.25">
      <c r="A22" s="17"/>
      <c r="B22" s="12" t="s">
        <v>30</v>
      </c>
      <c r="C22" s="26">
        <v>690</v>
      </c>
      <c r="E22" s="62" t="s">
        <v>29</v>
      </c>
      <c r="F22" s="62"/>
      <c r="G22" s="62"/>
      <c r="H22" s="25">
        <v>3545</v>
      </c>
      <c r="J22" s="62" t="s">
        <v>34</v>
      </c>
      <c r="K22" s="62"/>
      <c r="L22" s="62"/>
      <c r="M22" s="25">
        <v>12100</v>
      </c>
    </row>
    <row r="23" spans="1:19" ht="30" x14ac:dyDescent="0.25">
      <c r="A23" s="17"/>
      <c r="B23" s="3" t="s">
        <v>17</v>
      </c>
      <c r="C23" s="21">
        <v>23.47</v>
      </c>
      <c r="E23" s="62" t="s">
        <v>17</v>
      </c>
      <c r="F23" s="62"/>
      <c r="G23" s="62"/>
      <c r="H23" s="20">
        <v>93.03</v>
      </c>
      <c r="J23" s="62" t="s">
        <v>17</v>
      </c>
      <c r="K23" s="62"/>
      <c r="L23" s="62"/>
      <c r="M23">
        <f>88.7+31.5+10.2+4</f>
        <v>134.4</v>
      </c>
    </row>
    <row r="24" spans="1:19" ht="17.25" x14ac:dyDescent="0.25">
      <c r="A24" s="17"/>
      <c r="B24" s="12" t="s">
        <v>19</v>
      </c>
      <c r="C24" s="29">
        <f>C23/C22</f>
        <v>3.4014492753623185E-2</v>
      </c>
      <c r="E24" s="62" t="s">
        <v>19</v>
      </c>
      <c r="F24" s="62"/>
      <c r="G24" s="62"/>
      <c r="H24" s="28">
        <f>H23/H22</f>
        <v>2.62425952045134E-2</v>
      </c>
      <c r="J24" s="62" t="s">
        <v>21</v>
      </c>
      <c r="K24" s="62"/>
      <c r="L24" s="62"/>
      <c r="M24" s="28">
        <f>M23/M22</f>
        <v>1.1107438016528927E-2</v>
      </c>
    </row>
    <row r="25" spans="1:19" ht="30" x14ac:dyDescent="0.25">
      <c r="A25" s="17"/>
      <c r="B25" s="3" t="s">
        <v>23</v>
      </c>
      <c r="C25" s="21">
        <v>37.25</v>
      </c>
      <c r="E25" s="63"/>
      <c r="F25" s="63"/>
      <c r="G25" s="63"/>
      <c r="J25" s="62" t="s">
        <v>36</v>
      </c>
      <c r="K25" s="62"/>
      <c r="L25" s="62"/>
      <c r="M25">
        <f>52+88.7+51.6+10.2+4</f>
        <v>206.49999999999997</v>
      </c>
    </row>
    <row r="26" spans="1:19" ht="15" customHeight="1" x14ac:dyDescent="0.25">
      <c r="B26" s="3" t="s">
        <v>19</v>
      </c>
      <c r="C26" s="29">
        <f>C25/C22</f>
        <v>5.398550724637681E-2</v>
      </c>
      <c r="E26" s="63"/>
      <c r="F26" s="63"/>
      <c r="G26" s="63"/>
      <c r="J26" s="62" t="s">
        <v>19</v>
      </c>
      <c r="K26" s="62"/>
      <c r="L26" s="62"/>
      <c r="M26" s="28">
        <f>M25/M22</f>
        <v>1.7066115702479335E-2</v>
      </c>
    </row>
    <row r="27" spans="1:19" ht="15" customHeight="1" x14ac:dyDescent="0.25">
      <c r="E27" s="65"/>
      <c r="F27" s="65"/>
      <c r="G27" s="65"/>
    </row>
    <row r="28" spans="1:19" ht="60" customHeight="1" x14ac:dyDescent="0.25">
      <c r="B28" s="12" t="s">
        <v>28</v>
      </c>
      <c r="C28" s="25">
        <v>510</v>
      </c>
      <c r="E28" s="62" t="s">
        <v>35</v>
      </c>
      <c r="F28" s="62"/>
      <c r="G28" s="62"/>
      <c r="H28" s="25">
        <v>8270</v>
      </c>
    </row>
    <row r="29" spans="1:19" ht="30" x14ac:dyDescent="0.25">
      <c r="B29" s="3" t="s">
        <v>17</v>
      </c>
      <c r="C29" s="30">
        <v>9.82</v>
      </c>
      <c r="E29" s="64" t="s">
        <v>17</v>
      </c>
      <c r="F29" s="64"/>
      <c r="G29" s="64"/>
      <c r="H29" s="4">
        <v>155.69999999999999</v>
      </c>
    </row>
    <row r="30" spans="1:19" ht="17.25" x14ac:dyDescent="0.25">
      <c r="B30" s="12" t="s">
        <v>19</v>
      </c>
      <c r="C30" s="29">
        <f>C29/C28</f>
        <v>1.9254901960784315E-2</v>
      </c>
      <c r="E30" s="64" t="s">
        <v>19</v>
      </c>
      <c r="F30" s="64"/>
      <c r="G30" s="64"/>
      <c r="H30" s="28">
        <f>H29/H28</f>
        <v>1.8827085852478838E-2</v>
      </c>
    </row>
    <row r="31" spans="1:19" x14ac:dyDescent="0.25">
      <c r="E31" s="62" t="s">
        <v>22</v>
      </c>
      <c r="F31" s="62"/>
      <c r="G31" s="62"/>
      <c r="H31" s="4">
        <f>H29+38.3</f>
        <v>194</v>
      </c>
    </row>
    <row r="32" spans="1:19" x14ac:dyDescent="0.25">
      <c r="E32" s="62" t="s">
        <v>18</v>
      </c>
      <c r="F32" s="62"/>
      <c r="G32" s="62"/>
      <c r="H32" s="28">
        <f>H31/H28</f>
        <v>2.3458282950423216E-2</v>
      </c>
    </row>
    <row r="34" spans="1:8" x14ac:dyDescent="0.25">
      <c r="A34" s="72" t="s">
        <v>48</v>
      </c>
      <c r="B34" s="40" t="s">
        <v>46</v>
      </c>
      <c r="E34" s="45" t="s">
        <v>58</v>
      </c>
      <c r="F34" s="46" t="s">
        <v>60</v>
      </c>
      <c r="G34" s="47"/>
    </row>
    <row r="35" spans="1:8" x14ac:dyDescent="0.25">
      <c r="A35" s="72"/>
      <c r="B35" s="41" t="s">
        <v>47</v>
      </c>
      <c r="E35" s="45" t="s">
        <v>59</v>
      </c>
      <c r="F35" s="48" t="s">
        <v>65</v>
      </c>
      <c r="G35" s="49"/>
    </row>
    <row r="36" spans="1:8" ht="17.25" x14ac:dyDescent="0.25">
      <c r="A36" s="30"/>
      <c r="B36" s="4" t="s">
        <v>54</v>
      </c>
      <c r="C36" s="43">
        <f>(0.44+1.24)/(6*12)</f>
        <v>2.3333333333333331E-2</v>
      </c>
      <c r="F36" s="50" t="s">
        <v>54</v>
      </c>
      <c r="G36" s="51"/>
      <c r="H36" s="43">
        <f>1.51*2/(35*22)</f>
        <v>3.9220779220779222E-3</v>
      </c>
    </row>
    <row r="37" spans="1:8" x14ac:dyDescent="0.25">
      <c r="A37" s="30"/>
    </row>
    <row r="38" spans="1:8" ht="15" customHeight="1" x14ac:dyDescent="0.25">
      <c r="A38" s="60" t="s">
        <v>53</v>
      </c>
      <c r="B38" s="40" t="s">
        <v>49</v>
      </c>
      <c r="C38">
        <f>(3.03+9.51)+10.64+77.49+2.7+11.36+7.68+0.51+3.01+0.86+1.54+3.82+8.8+5.17+7.89+1.48+2.91+0.065+0.23+0.49</f>
        <v>159.18499999999997</v>
      </c>
      <c r="E38" s="45" t="s">
        <v>58</v>
      </c>
      <c r="F38" s="46" t="s">
        <v>61</v>
      </c>
      <c r="G38" s="47"/>
    </row>
    <row r="39" spans="1:8" x14ac:dyDescent="0.25">
      <c r="A39" s="60"/>
      <c r="B39" s="41" t="s">
        <v>50</v>
      </c>
      <c r="E39" s="45" t="s">
        <v>59</v>
      </c>
      <c r="F39" s="50" t="s">
        <v>64</v>
      </c>
      <c r="G39" s="51"/>
    </row>
    <row r="40" spans="1:8" ht="17.25" x14ac:dyDescent="0.25">
      <c r="A40" s="30"/>
      <c r="B40" s="41" t="s">
        <v>51</v>
      </c>
      <c r="F40" s="48" t="s">
        <v>54</v>
      </c>
      <c r="G40" s="49"/>
      <c r="H40" s="43">
        <f>0.33/(5.5*10*2)</f>
        <v>3.0000000000000001E-3</v>
      </c>
    </row>
    <row r="41" spans="1:8" x14ac:dyDescent="0.25">
      <c r="A41" s="30"/>
      <c r="B41" s="5" t="s">
        <v>52</v>
      </c>
    </row>
    <row r="42" spans="1:8" ht="17.25" x14ac:dyDescent="0.25">
      <c r="A42" s="30"/>
      <c r="B42" s="4" t="s">
        <v>54</v>
      </c>
      <c r="C42" s="43">
        <f>C38/(168*30+84*30+48*24+96*54)</f>
        <v>1.1455454807138743E-2</v>
      </c>
      <c r="E42" s="45" t="s">
        <v>58</v>
      </c>
      <c r="F42" s="46" t="s">
        <v>62</v>
      </c>
      <c r="G42" s="47"/>
    </row>
    <row r="43" spans="1:8" x14ac:dyDescent="0.25">
      <c r="A43" s="30"/>
      <c r="E43" s="45" t="s">
        <v>59</v>
      </c>
      <c r="F43" s="48" t="s">
        <v>63</v>
      </c>
      <c r="G43" s="49"/>
    </row>
    <row r="44" spans="1:8" ht="17.25" x14ac:dyDescent="0.25">
      <c r="A44" s="61" t="s">
        <v>48</v>
      </c>
      <c r="B44" s="40" t="s">
        <v>55</v>
      </c>
      <c r="C44">
        <f>28.53+28.65+26.89+1.4</f>
        <v>85.47</v>
      </c>
      <c r="F44" s="50" t="s">
        <v>54</v>
      </c>
      <c r="G44" s="51"/>
      <c r="H44" s="43">
        <f>0.3/(15*12)</f>
        <v>1.6666666666666666E-3</v>
      </c>
    </row>
    <row r="45" spans="1:8" x14ac:dyDescent="0.25">
      <c r="A45" s="61"/>
      <c r="B45" s="5" t="s">
        <v>56</v>
      </c>
    </row>
    <row r="46" spans="1:8" ht="17.25" x14ac:dyDescent="0.25">
      <c r="A46" s="30"/>
      <c r="B46" s="5" t="s">
        <v>54</v>
      </c>
      <c r="C46" s="44">
        <f>C44/(2*53*16)</f>
        <v>5.0395047169811323E-2</v>
      </c>
      <c r="E46" s="59"/>
      <c r="F46" s="15"/>
      <c r="G46" s="15"/>
      <c r="H46" s="15"/>
    </row>
    <row r="47" spans="1:8" x14ac:dyDescent="0.25">
      <c r="A47" s="30"/>
      <c r="E47" s="59"/>
      <c r="F47" s="15"/>
      <c r="G47" s="15"/>
      <c r="H47" s="15"/>
    </row>
    <row r="48" spans="1:8" x14ac:dyDescent="0.25">
      <c r="A48" s="61" t="s">
        <v>48</v>
      </c>
      <c r="B48" s="40" t="s">
        <v>57</v>
      </c>
      <c r="E48" s="15"/>
      <c r="F48" s="15"/>
      <c r="G48" s="15"/>
      <c r="H48" s="52"/>
    </row>
    <row r="49" spans="1:3" x14ac:dyDescent="0.25">
      <c r="A49" s="61"/>
      <c r="B49" s="5" t="s">
        <v>66</v>
      </c>
    </row>
    <row r="50" spans="1:3" ht="17.25" x14ac:dyDescent="0.25">
      <c r="B50" s="5" t="s">
        <v>54</v>
      </c>
      <c r="C50" s="43">
        <f>2.06/(12*9)</f>
        <v>1.9074074074074073E-2</v>
      </c>
    </row>
    <row r="51" spans="1:3" x14ac:dyDescent="0.25">
      <c r="A51" s="53"/>
      <c r="B51" s="15"/>
      <c r="C51" s="15"/>
    </row>
    <row r="52" spans="1:3" x14ac:dyDescent="0.25">
      <c r="A52" s="60" t="s">
        <v>53</v>
      </c>
      <c r="B52" s="40" t="s">
        <v>76</v>
      </c>
    </row>
    <row r="53" spans="1:3" x14ac:dyDescent="0.25">
      <c r="A53" s="60"/>
      <c r="B53" s="5" t="s">
        <v>67</v>
      </c>
    </row>
    <row r="54" spans="1:3" ht="17.25" x14ac:dyDescent="0.25">
      <c r="B54" s="5" t="s">
        <v>54</v>
      </c>
      <c r="C54" s="43">
        <f>(7.51+5.94+19.8+7.94)/(32.3*56.7)</f>
        <v>2.2490867692106082E-2</v>
      </c>
    </row>
    <row r="56" spans="1:3" x14ac:dyDescent="0.25">
      <c r="A56" s="61" t="s">
        <v>48</v>
      </c>
      <c r="B56" s="40" t="s">
        <v>79</v>
      </c>
    </row>
    <row r="57" spans="1:3" x14ac:dyDescent="0.25">
      <c r="A57" s="61"/>
      <c r="B57" s="5" t="s">
        <v>80</v>
      </c>
    </row>
    <row r="58" spans="1:3" ht="17.25" x14ac:dyDescent="0.25">
      <c r="B58" s="5" t="s">
        <v>54</v>
      </c>
      <c r="C58" s="58">
        <f>8.7/(36*36)</f>
        <v>6.7129629629629622E-3</v>
      </c>
    </row>
    <row r="60" spans="1:3" x14ac:dyDescent="0.25">
      <c r="A60" s="61" t="s">
        <v>48</v>
      </c>
      <c r="B60" s="40" t="s">
        <v>81</v>
      </c>
    </row>
    <row r="61" spans="1:3" x14ac:dyDescent="0.25">
      <c r="A61" s="61"/>
      <c r="B61" s="5" t="s">
        <v>82</v>
      </c>
    </row>
    <row r="62" spans="1:3" ht="17.25" x14ac:dyDescent="0.25">
      <c r="B62" s="5" t="s">
        <v>54</v>
      </c>
      <c r="C62" s="43">
        <f>(2.69+9.61)/(4*6.5*20.5)</f>
        <v>2.3076923076923075E-2</v>
      </c>
    </row>
    <row r="64" spans="1:3" x14ac:dyDescent="0.25">
      <c r="A64" s="61" t="s">
        <v>48</v>
      </c>
      <c r="B64" s="40" t="s">
        <v>83</v>
      </c>
    </row>
    <row r="65" spans="1:3" x14ac:dyDescent="0.25">
      <c r="A65" s="61"/>
      <c r="B65" s="5" t="s">
        <v>84</v>
      </c>
    </row>
    <row r="66" spans="1:3" ht="17.25" x14ac:dyDescent="0.25">
      <c r="B66" s="5" t="s">
        <v>54</v>
      </c>
      <c r="C66" s="43">
        <f>10.09/(14*24)</f>
        <v>3.0029761904761903E-2</v>
      </c>
    </row>
    <row r="68" spans="1:3" x14ac:dyDescent="0.25">
      <c r="A68" s="60" t="s">
        <v>53</v>
      </c>
      <c r="B68" s="40" t="s">
        <v>87</v>
      </c>
    </row>
    <row r="69" spans="1:3" x14ac:dyDescent="0.25">
      <c r="A69" s="60"/>
      <c r="B69" s="5" t="s">
        <v>86</v>
      </c>
    </row>
    <row r="70" spans="1:3" ht="17.25" x14ac:dyDescent="0.25">
      <c r="B70" s="5" t="s">
        <v>54</v>
      </c>
      <c r="C70" s="43">
        <f>(4.45+13.42+46.35)/(84*40)</f>
        <v>1.9113095238095238E-2</v>
      </c>
    </row>
  </sheetData>
  <mergeCells count="38">
    <mergeCell ref="A44:A45"/>
    <mergeCell ref="A48:A49"/>
    <mergeCell ref="E28:G28"/>
    <mergeCell ref="E22:G22"/>
    <mergeCell ref="E23:G23"/>
    <mergeCell ref="E24:G24"/>
    <mergeCell ref="E25:G25"/>
    <mergeCell ref="A34:A35"/>
    <mergeCell ref="A38:A39"/>
    <mergeCell ref="J22:L22"/>
    <mergeCell ref="J23:L23"/>
    <mergeCell ref="J24:L24"/>
    <mergeCell ref="J25:L25"/>
    <mergeCell ref="J26:L26"/>
    <mergeCell ref="J16:L16"/>
    <mergeCell ref="J17:L17"/>
    <mergeCell ref="J18:L18"/>
    <mergeCell ref="J19:L19"/>
    <mergeCell ref="J20:L20"/>
    <mergeCell ref="D3:F3"/>
    <mergeCell ref="D2:F2"/>
    <mergeCell ref="G2:G3"/>
    <mergeCell ref="E16:G16"/>
    <mergeCell ref="E17:G17"/>
    <mergeCell ref="E19:G19"/>
    <mergeCell ref="E20:G20"/>
    <mergeCell ref="E18:G18"/>
    <mergeCell ref="E31:G31"/>
    <mergeCell ref="E32:G32"/>
    <mergeCell ref="E26:G26"/>
    <mergeCell ref="E29:G29"/>
    <mergeCell ref="E30:G30"/>
    <mergeCell ref="E27:G27"/>
    <mergeCell ref="A68:A69"/>
    <mergeCell ref="A52:A53"/>
    <mergeCell ref="A56:A57"/>
    <mergeCell ref="A60:A61"/>
    <mergeCell ref="A64:A65"/>
  </mergeCells>
  <pageMargins left="0.70866141732283472" right="0.70866141732283472" top="0.74803149606299213" bottom="0.74803149606299213" header="0.31496062992125984" footer="0.31496062992125984"/>
  <pageSetup paperSize="8" scale="130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7"/>
  <sheetViews>
    <sheetView tabSelected="1" workbookViewId="0">
      <selection activeCell="L8" sqref="L8"/>
    </sheetView>
  </sheetViews>
  <sheetFormatPr defaultRowHeight="15" x14ac:dyDescent="0.25"/>
  <cols>
    <col min="2" max="2" width="18.28515625" customWidth="1"/>
  </cols>
  <sheetData>
    <row r="2" spans="2:12" ht="30" customHeight="1" x14ac:dyDescent="0.25">
      <c r="B2" s="78" t="s">
        <v>45</v>
      </c>
      <c r="C2" s="77" t="s">
        <v>69</v>
      </c>
      <c r="D2" s="77"/>
      <c r="E2" s="77"/>
      <c r="F2" s="77"/>
      <c r="G2" s="77"/>
      <c r="H2" s="77"/>
      <c r="I2" s="77"/>
      <c r="J2" s="77"/>
      <c r="K2" s="77"/>
    </row>
    <row r="3" spans="2:12" x14ac:dyDescent="0.25">
      <c r="B3" s="78"/>
      <c r="C3" s="73" t="s">
        <v>42</v>
      </c>
      <c r="D3" s="73"/>
      <c r="E3" s="79"/>
      <c r="F3" s="80" t="s">
        <v>43</v>
      </c>
      <c r="G3" s="73"/>
      <c r="H3" s="79"/>
      <c r="I3" s="81" t="s">
        <v>44</v>
      </c>
      <c r="J3" s="73"/>
      <c r="K3" s="73"/>
    </row>
    <row r="4" spans="2:12" x14ac:dyDescent="0.25">
      <c r="B4" s="78"/>
      <c r="C4" s="73" t="s">
        <v>38</v>
      </c>
      <c r="D4" s="73"/>
      <c r="E4" s="79"/>
      <c r="F4" s="80" t="s">
        <v>38</v>
      </c>
      <c r="G4" s="73"/>
      <c r="H4" s="79"/>
      <c r="I4" s="81" t="s">
        <v>38</v>
      </c>
      <c r="J4" s="73"/>
      <c r="K4" s="73"/>
    </row>
    <row r="5" spans="2:12" x14ac:dyDescent="0.25">
      <c r="B5" s="78"/>
      <c r="C5" s="32" t="s">
        <v>39</v>
      </c>
      <c r="D5" s="32" t="s">
        <v>40</v>
      </c>
      <c r="E5" s="36" t="s">
        <v>41</v>
      </c>
      <c r="F5" s="38" t="s">
        <v>39</v>
      </c>
      <c r="G5" s="32" t="s">
        <v>40</v>
      </c>
      <c r="H5" s="36" t="s">
        <v>41</v>
      </c>
      <c r="I5" s="34" t="s">
        <v>39</v>
      </c>
      <c r="J5" s="32" t="s">
        <v>40</v>
      </c>
      <c r="K5" s="32" t="s">
        <v>41</v>
      </c>
    </row>
    <row r="6" spans="2:12" ht="30" customHeight="1" x14ac:dyDescent="0.25">
      <c r="B6" s="57" t="s">
        <v>72</v>
      </c>
      <c r="C6" s="33">
        <v>9</v>
      </c>
      <c r="D6" s="33">
        <v>10</v>
      </c>
      <c r="E6" s="37">
        <v>11</v>
      </c>
      <c r="F6" s="39">
        <v>9</v>
      </c>
      <c r="G6" s="33">
        <v>11</v>
      </c>
      <c r="H6" s="37">
        <v>11</v>
      </c>
      <c r="I6" s="35">
        <v>10</v>
      </c>
      <c r="J6" s="33">
        <v>12</v>
      </c>
      <c r="K6" s="33">
        <v>12</v>
      </c>
    </row>
    <row r="7" spans="2:12" ht="30" customHeight="1" x14ac:dyDescent="0.25">
      <c r="B7" s="57" t="s">
        <v>73</v>
      </c>
      <c r="C7" s="33">
        <v>23</v>
      </c>
      <c r="D7" s="33">
        <v>25</v>
      </c>
      <c r="E7" s="37">
        <v>25</v>
      </c>
      <c r="F7" s="39">
        <v>23</v>
      </c>
      <c r="G7" s="33">
        <v>25</v>
      </c>
      <c r="H7" s="37">
        <v>25</v>
      </c>
      <c r="I7" s="35">
        <v>26</v>
      </c>
      <c r="J7" s="33">
        <v>30</v>
      </c>
      <c r="K7" s="33">
        <v>30</v>
      </c>
    </row>
    <row r="8" spans="2:12" ht="30" customHeight="1" x14ac:dyDescent="0.25">
      <c r="B8" s="57" t="s">
        <v>85</v>
      </c>
      <c r="C8" s="33">
        <v>19</v>
      </c>
      <c r="D8" s="33">
        <v>28</v>
      </c>
      <c r="E8" s="37">
        <v>45</v>
      </c>
      <c r="F8" s="39">
        <v>19</v>
      </c>
      <c r="G8" s="33">
        <v>29</v>
      </c>
      <c r="H8" s="37">
        <v>46</v>
      </c>
      <c r="I8" s="35">
        <v>20</v>
      </c>
      <c r="J8" s="33">
        <v>30</v>
      </c>
      <c r="K8" s="33">
        <v>48</v>
      </c>
    </row>
    <row r="11" spans="2:12" ht="30" customHeight="1" x14ac:dyDescent="0.25">
      <c r="C11" s="76" t="s">
        <v>71</v>
      </c>
      <c r="D11" s="76"/>
      <c r="E11" s="76"/>
      <c r="F11" s="76"/>
      <c r="G11" s="76"/>
      <c r="H11" s="76"/>
      <c r="I11" s="76"/>
      <c r="J11" s="76"/>
      <c r="K11" s="76"/>
      <c r="L11" s="56"/>
    </row>
    <row r="12" spans="2:12" x14ac:dyDescent="0.25">
      <c r="B12" s="54"/>
      <c r="C12" s="73" t="s">
        <v>68</v>
      </c>
      <c r="D12" s="73"/>
      <c r="E12" s="73"/>
      <c r="F12" s="73"/>
      <c r="G12" s="73"/>
      <c r="H12" s="73"/>
      <c r="I12" s="73"/>
      <c r="J12" s="73"/>
      <c r="K12" s="73"/>
    </row>
    <row r="13" spans="2:12" ht="45" customHeight="1" x14ac:dyDescent="0.25">
      <c r="B13" s="15"/>
      <c r="C13" s="74" t="s">
        <v>74</v>
      </c>
      <c r="D13" s="74"/>
      <c r="E13" s="74"/>
      <c r="F13" s="75" t="s">
        <v>78</v>
      </c>
      <c r="G13" s="75"/>
      <c r="H13" s="75"/>
      <c r="I13" s="74" t="s">
        <v>75</v>
      </c>
      <c r="J13" s="74"/>
      <c r="K13" s="74"/>
    </row>
    <row r="14" spans="2:12" x14ac:dyDescent="0.25">
      <c r="B14" s="15"/>
      <c r="C14" s="63" t="s">
        <v>77</v>
      </c>
      <c r="D14" s="63"/>
      <c r="E14" s="63"/>
      <c r="F14" s="63" t="s">
        <v>88</v>
      </c>
      <c r="G14" s="63"/>
      <c r="H14" s="63"/>
      <c r="I14" s="63" t="s">
        <v>70</v>
      </c>
      <c r="J14" s="63"/>
      <c r="K14" s="63"/>
    </row>
    <row r="15" spans="2:12" x14ac:dyDescent="0.25">
      <c r="B15" s="15"/>
      <c r="C15" s="55"/>
      <c r="D15" s="15"/>
    </row>
    <row r="16" spans="2:12" x14ac:dyDescent="0.25">
      <c r="B16" s="15"/>
      <c r="C16" s="55"/>
      <c r="D16" s="15"/>
    </row>
    <row r="17" spans="2:4" x14ac:dyDescent="0.25">
      <c r="B17" s="15"/>
      <c r="C17" s="15"/>
      <c r="D17" s="15"/>
    </row>
  </sheetData>
  <mergeCells count="16">
    <mergeCell ref="C11:K11"/>
    <mergeCell ref="C2:K2"/>
    <mergeCell ref="B2:B5"/>
    <mergeCell ref="C3:E3"/>
    <mergeCell ref="C4:E4"/>
    <mergeCell ref="F3:H3"/>
    <mergeCell ref="I3:K3"/>
    <mergeCell ref="F4:H4"/>
    <mergeCell ref="I4:K4"/>
    <mergeCell ref="C14:E14"/>
    <mergeCell ref="F14:H14"/>
    <mergeCell ref="I14:K14"/>
    <mergeCell ref="C12:K12"/>
    <mergeCell ref="C13:E13"/>
    <mergeCell ref="F13:H13"/>
    <mergeCell ref="I13:K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Аналоги</vt:lpstr>
      <vt:lpstr>Расчеты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Мурашов Борис Андреевич</dc:creator>
  <cp:lastModifiedBy>Мурашов Борис Андреевич</cp:lastModifiedBy>
  <cp:lastPrinted>2024-12-20T07:13:02Z</cp:lastPrinted>
  <dcterms:created xsi:type="dcterms:W3CDTF">2024-12-10T11:00:10Z</dcterms:created>
  <dcterms:modified xsi:type="dcterms:W3CDTF">2025-02-13T11:35:13Z</dcterms:modified>
</cp:coreProperties>
</file>